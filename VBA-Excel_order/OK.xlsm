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VBA-Excel_order\"/>
    </mc:Choice>
  </mc:AlternateContent>
  <xr:revisionPtr revIDLastSave="0" documentId="13_ncr:1_{6AAE60D9-B7D7-4C6F-8037-493C87B09AA6}" xr6:coauthVersionLast="47" xr6:coauthVersionMax="47" xr10:uidLastSave="{00000000-0000-0000-0000-000000000000}"/>
  <bookViews>
    <workbookView xWindow="-120" yWindow="-120" windowWidth="29040" windowHeight="15840" xr2:uid="{BE6BEC64-82A6-4CE1-B0E6-EF80137E7CD3}"/>
  </bookViews>
  <sheets>
    <sheet name="首页" sheetId="1" r:id="rId1"/>
    <sheet name="价格表" sheetId="2" r:id="rId2"/>
    <sheet name="资料库" sheetId="3" r:id="rId3"/>
  </sheets>
  <definedNames>
    <definedName name="_xlnm.Print_Area" localSheetId="0">首页!$D$2:$G$17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G17" i="1" l="1"/>
</calcChain>
</file>

<file path=xl/sharedStrings.xml><?xml version="1.0" encoding="utf-8"?>
<sst xmlns="http://schemas.openxmlformats.org/spreadsheetml/2006/main" count="20" uniqueCount="17">
  <si>
    <t xml:space="preserve"> </t>
    <phoneticPr fontId="3" type="noConversion"/>
  </si>
  <si>
    <t>火腿蛋土司</t>
    <phoneticPr fontId="3" type="noConversion"/>
  </si>
  <si>
    <t>巧克力奶茶</t>
  </si>
  <si>
    <t>餐点编号</t>
    <phoneticPr fontId="3" type="noConversion"/>
  </si>
  <si>
    <t>时间</t>
    <phoneticPr fontId="3" type="noConversion"/>
  </si>
  <si>
    <t>餐点名称</t>
    <phoneticPr fontId="3" type="noConversion"/>
  </si>
  <si>
    <t>数量</t>
    <phoneticPr fontId="3" type="noConversion"/>
  </si>
  <si>
    <t>金额</t>
    <phoneticPr fontId="3" type="noConversion"/>
  </si>
  <si>
    <t>小计</t>
    <phoneticPr fontId="3" type="noConversion"/>
  </si>
  <si>
    <t>价格</t>
    <phoneticPr fontId="3" type="noConversion"/>
  </si>
  <si>
    <t>草菇厚牛堡</t>
    <phoneticPr fontId="3" type="noConversion"/>
  </si>
  <si>
    <t>鱿鱼沙拉土司</t>
    <phoneticPr fontId="3" type="noConversion"/>
  </si>
  <si>
    <t>冰香草拿铁</t>
    <phoneticPr fontId="3" type="noConversion"/>
  </si>
  <si>
    <t>编号</t>
    <phoneticPr fontId="3" type="noConversion"/>
  </si>
  <si>
    <t>金额</t>
    <phoneticPr fontId="3" type="noConversion"/>
  </si>
  <si>
    <t>总金额</t>
    <phoneticPr fontId="3" type="noConversion"/>
  </si>
  <si>
    <t>卡啦鸡腿堡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</si>
</sst>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¥&quot;* #,##0.00_ ;_ &quot;¥&quot;* \-#,##0.00_ ;_ &quot;¥&quot;* &quot;-&quot;??_ ;_ @_ "/>
    <numFmt numFmtId="176" formatCode="00000"/>
    <numFmt numFmtId="177" formatCode="yy/m/d\ hh:mm"/>
    <numFmt numFmtId="178" formatCode="&quot;$&quot;#,##0_);[Red]\(&quot;$&quot;#,##0\)"/>
    <numFmt numFmtId="179" formatCode="_-[$NT$-404]* #,##0.00_-;\-[$NT$-404]* #,##0.00_-;_-[$NT$-404]* &quot;-&quot;??_-;_-@_-"/>
  </numFmts>
  <fonts count="8">
    <font>
      <sz val="10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9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-0.499984740745262"/>
      </top>
      <bottom/>
      <diagonal/>
    </border>
    <border>
      <left/>
      <right/>
      <top/>
      <bottom style="thin">
        <color theme="9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4" fontId="7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2" fillId="4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176" fontId="2" fillId="3" borderId="5" xfId="0" applyNumberFormat="1" applyFont="1" applyFill="1" applyBorder="1" applyAlignment="1">
      <alignment horizontal="center" vertical="center"/>
    </xf>
    <xf numFmtId="177" fontId="2" fillId="3" borderId="6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 indent="3"/>
    </xf>
    <xf numFmtId="0" fontId="2" fillId="3" borderId="2" xfId="0" applyFont="1" applyFill="1" applyBorder="1" applyAlignment="1">
      <alignment horizontal="left" vertical="center" indent="3"/>
    </xf>
    <xf numFmtId="0" fontId="2" fillId="3" borderId="0" xfId="0" applyFont="1" applyFill="1" applyAlignment="1">
      <alignment horizontal="left" vertical="center" indent="3"/>
    </xf>
    <xf numFmtId="0" fontId="2" fillId="3" borderId="3" xfId="0" applyFont="1" applyFill="1" applyBorder="1" applyAlignment="1">
      <alignment horizontal="left" vertical="center" indent="3"/>
    </xf>
    <xf numFmtId="176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9" fontId="6" fillId="0" borderId="0" xfId="1" applyNumberFormat="1" applyFont="1" applyAlignment="1">
      <alignment horizontal="right" vertical="center" indent="4"/>
    </xf>
    <xf numFmtId="179" fontId="2" fillId="3" borderId="2" xfId="0" applyNumberFormat="1" applyFont="1" applyFill="1" applyBorder="1" applyAlignment="1">
      <alignment horizontal="right" vertical="center" indent="4"/>
    </xf>
    <xf numFmtId="179" fontId="2" fillId="3" borderId="0" xfId="0" applyNumberFormat="1" applyFont="1" applyFill="1" applyAlignment="1">
      <alignment horizontal="right" vertical="center" indent="4"/>
    </xf>
    <xf numFmtId="179" fontId="2" fillId="3" borderId="3" xfId="0" applyNumberFormat="1" applyFont="1" applyFill="1" applyBorder="1" applyAlignment="1">
      <alignment horizontal="right" vertical="center" indent="4"/>
    </xf>
    <xf numFmtId="179" fontId="2" fillId="3" borderId="0" xfId="0" applyNumberFormat="1" applyFont="1" applyFill="1">
      <alignment vertical="center"/>
    </xf>
  </cellXfs>
  <cellStyles count="2">
    <cellStyle name="常规" xfId="0" builtinId="0"/>
    <cellStyle name="货币" xfId="1" builtinId="4"/>
  </cellStyles>
  <dxfs count="5">
    <dxf>
      <font>
        <name val="宋体"/>
        <family val="3"/>
        <charset val="134"/>
      </font>
      <numFmt numFmtId="179" formatCode="_-[$NT$-404]* #,##0.00_-;\-[$NT$-404]* #,##0.00_-;_-[$NT$-404]* &quot;-&quot;??_-;_-@_-"/>
      <alignment horizontal="right" vertical="center" textRotation="0" wrapText="0" indent="4" justifyLastLine="0" shrinkToFit="0" readingOrder="0"/>
    </dxf>
    <dxf>
      <font>
        <name val="宋体"/>
        <family val="3"/>
        <charset val="134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571501</xdr:colOff>
      <xdr:row>0</xdr:row>
      <xdr:rowOff>298979</xdr:rowOff>
    </xdr:from>
    <xdr:to>
      <xdr:col>1</xdr:col>
      <xdr:colOff>2371501</xdr:colOff>
      <xdr:row>4</xdr:row>
      <xdr:rowOff>130479</xdr:rowOff>
    </xdr:to>
    <xdr:grpSp>
      <xdr:nvGrpSpPr>
        <xdr:cNvPr id="9" name="群组8">
          <a:extLst>
            <a:ext uri="{FF2B5EF4-FFF2-40B4-BE49-F238E27FC236}">
              <a16:creationId xmlns:a16="http://schemas.microsoft.com/office/drawing/2014/main" id="{AECEB106-0B36-4005-C9E6-792700047D9E}"/>
            </a:ext>
          </a:extLst>
        </xdr:cNvPr>
        <xdr:cNvGrpSpPr/>
      </xdr:nvGrpSpPr>
      <xdr:grpSpPr>
        <a:xfrm>
          <a:off x="3206751" y="298979"/>
          <a:ext cx="1800000" cy="1800000"/>
          <a:chOff x="3402542" y="857250"/>
          <a:chExt cx="1800000" cy="1800000"/>
        </a:xfrm>
      </xdr:grpSpPr>
      <xdr:sp macro="[0]!新增餐点" textlink="">
        <xdr:nvSpPr>
          <xdr:cNvPr id="5" name="矩形 4">
            <a:extLst>
              <a:ext uri="{FF2B5EF4-FFF2-40B4-BE49-F238E27FC236}">
                <a16:creationId xmlns:a16="http://schemas.microsoft.com/office/drawing/2014/main" id="{278B1541-6971-3F7F-9830-708149BECACF}"/>
              </a:ext>
            </a:extLst>
          </xdr:cNvPr>
          <xdr:cNvSpPr/>
        </xdr:nvSpPr>
        <xdr:spPr>
          <a:xfrm>
            <a:off x="3402542" y="857250"/>
            <a:ext cx="1800000" cy="1800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127000" sx="102000" sy="102000" algn="ctr" rotWithShape="0">
              <a:prstClr val="black">
                <a:alpha val="2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pic macro="[0]!新增餐点">
        <xdr:nvPicPr>
          <xdr:cNvPr id="7" name="火腿蛋土司">
            <a:extLst>
              <a:ext uri="{FF2B5EF4-FFF2-40B4-BE49-F238E27FC236}">
                <a16:creationId xmlns:a16="http://schemas.microsoft.com/office/drawing/2014/main" id="{B46CBB4C-715D-B64D-C746-5681256EBA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97681" y="957791"/>
            <a:ext cx="1614070" cy="1259040"/>
          </a:xfrm>
          <a:prstGeom prst="rect">
            <a:avLst/>
          </a:prstGeom>
        </xdr:spPr>
      </xdr:pic>
      <xdr:sp macro="[0]!新增餐点" textlink="">
        <xdr:nvSpPr>
          <xdr:cNvPr id="8" name="矩形 7">
            <a:extLst>
              <a:ext uri="{FF2B5EF4-FFF2-40B4-BE49-F238E27FC236}">
                <a16:creationId xmlns:a16="http://schemas.microsoft.com/office/drawing/2014/main" id="{0571550A-1DCB-4F5D-B617-7721276727DB}"/>
              </a:ext>
            </a:extLst>
          </xdr:cNvPr>
          <xdr:cNvSpPr/>
        </xdr:nvSpPr>
        <xdr:spPr>
          <a:xfrm>
            <a:off x="3825764" y="2254249"/>
            <a:ext cx="954107" cy="35767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zh-TW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火腿蛋土司</a:t>
            </a:r>
          </a:p>
        </xdr:txBody>
      </xdr:sp>
    </xdr:grpSp>
    <xdr:clientData/>
  </xdr:twoCellAnchor>
  <xdr:twoCellAnchor>
    <xdr:from>
      <xdr:col>1</xdr:col>
      <xdr:colOff>2741084</xdr:colOff>
      <xdr:row>0</xdr:row>
      <xdr:rowOff>298979</xdr:rowOff>
    </xdr:from>
    <xdr:to>
      <xdr:col>1</xdr:col>
      <xdr:colOff>4541084</xdr:colOff>
      <xdr:row>4</xdr:row>
      <xdr:rowOff>130479</xdr:rowOff>
    </xdr:to>
    <xdr:grpSp>
      <xdr:nvGrpSpPr>
        <xdr:cNvPr id="10" name="群组 9">
          <a:extLst>
            <a:ext uri="{FF2B5EF4-FFF2-40B4-BE49-F238E27FC236}">
              <a16:creationId xmlns:a16="http://schemas.microsoft.com/office/drawing/2014/main" id="{A740F774-7925-A76A-F341-6C2EB6AE0676}"/>
            </a:ext>
          </a:extLst>
        </xdr:cNvPr>
        <xdr:cNvGrpSpPr/>
      </xdr:nvGrpSpPr>
      <xdr:grpSpPr>
        <a:xfrm>
          <a:off x="5376334" y="298979"/>
          <a:ext cx="1800000" cy="1800000"/>
          <a:chOff x="3402542" y="857250"/>
          <a:chExt cx="1800000" cy="1800000"/>
        </a:xfrm>
      </xdr:grpSpPr>
      <xdr:sp macro="[0]!新增餐点" textlink="">
        <xdr:nvSpPr>
          <xdr:cNvPr id="11" name="矩形 10">
            <a:extLst>
              <a:ext uri="{FF2B5EF4-FFF2-40B4-BE49-F238E27FC236}">
                <a16:creationId xmlns:a16="http://schemas.microsoft.com/office/drawing/2014/main" id="{6528BE91-F2F6-4851-15BA-9E7A1560B75B}"/>
              </a:ext>
            </a:extLst>
          </xdr:cNvPr>
          <xdr:cNvSpPr/>
        </xdr:nvSpPr>
        <xdr:spPr>
          <a:xfrm>
            <a:off x="3402542" y="857250"/>
            <a:ext cx="1800000" cy="1800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127000" sx="102000" sy="102000" algn="ctr" rotWithShape="0">
              <a:prstClr val="black">
                <a:alpha val="2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pic macro="[0]!新增餐点">
        <xdr:nvPicPr>
          <xdr:cNvPr id="12" name="卡啦鸡腿堡">
            <a:extLst>
              <a:ext uri="{FF2B5EF4-FFF2-40B4-BE49-F238E27FC236}">
                <a16:creationId xmlns:a16="http://schemas.microsoft.com/office/drawing/2014/main" id="{9B56E8BA-42F2-6402-109A-D80C63231E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497681" y="957791"/>
            <a:ext cx="1614069" cy="1259040"/>
          </a:xfrm>
          <a:prstGeom prst="rect">
            <a:avLst/>
          </a:prstGeom>
        </xdr:spPr>
      </xdr:pic>
      <xdr:sp macro="[0]!新增餐点" textlink="">
        <xdr:nvSpPr>
          <xdr:cNvPr id="13" name="矩形 12">
            <a:extLst>
              <a:ext uri="{FF2B5EF4-FFF2-40B4-BE49-F238E27FC236}">
                <a16:creationId xmlns:a16="http://schemas.microsoft.com/office/drawing/2014/main" id="{A77EA2E9-1778-6689-43B9-7CCB55053369}"/>
              </a:ext>
            </a:extLst>
          </xdr:cNvPr>
          <xdr:cNvSpPr/>
        </xdr:nvSpPr>
        <xdr:spPr>
          <a:xfrm>
            <a:off x="3825764" y="2254249"/>
            <a:ext cx="954107" cy="35767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zh-TW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卡啦</a:t>
            </a:r>
            <a:r>
              <a:rPr lang="zh-CN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鸡</a:t>
            </a:r>
            <a:r>
              <a:rPr lang="zh-TW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腿堡</a:t>
            </a:r>
          </a:p>
        </xdr:txBody>
      </xdr:sp>
    </xdr:grpSp>
    <xdr:clientData/>
  </xdr:twoCellAnchor>
  <xdr:twoCellAnchor>
    <xdr:from>
      <xdr:col>1</xdr:col>
      <xdr:colOff>571501</xdr:colOff>
      <xdr:row>5</xdr:row>
      <xdr:rowOff>84667</xdr:rowOff>
    </xdr:from>
    <xdr:to>
      <xdr:col>1</xdr:col>
      <xdr:colOff>2371501</xdr:colOff>
      <xdr:row>11</xdr:row>
      <xdr:rowOff>106667</xdr:rowOff>
    </xdr:to>
    <xdr:grpSp>
      <xdr:nvGrpSpPr>
        <xdr:cNvPr id="14" name="群组 13">
          <a:extLst>
            <a:ext uri="{FF2B5EF4-FFF2-40B4-BE49-F238E27FC236}">
              <a16:creationId xmlns:a16="http://schemas.microsoft.com/office/drawing/2014/main" id="{E51EC037-4520-335A-CBFE-8A5F65241C84}"/>
            </a:ext>
          </a:extLst>
        </xdr:cNvPr>
        <xdr:cNvGrpSpPr/>
      </xdr:nvGrpSpPr>
      <xdr:grpSpPr>
        <a:xfrm>
          <a:off x="3206751" y="2349500"/>
          <a:ext cx="1800000" cy="1800000"/>
          <a:chOff x="3402542" y="857250"/>
          <a:chExt cx="1800000" cy="1800000"/>
        </a:xfrm>
      </xdr:grpSpPr>
      <xdr:sp macro="[0]!新增餐点" textlink="">
        <xdr:nvSpPr>
          <xdr:cNvPr id="15" name="矩形 14">
            <a:extLst>
              <a:ext uri="{FF2B5EF4-FFF2-40B4-BE49-F238E27FC236}">
                <a16:creationId xmlns:a16="http://schemas.microsoft.com/office/drawing/2014/main" id="{0CB0B32C-D076-6ED7-9C78-DA401F74B0C1}"/>
              </a:ext>
            </a:extLst>
          </xdr:cNvPr>
          <xdr:cNvSpPr/>
        </xdr:nvSpPr>
        <xdr:spPr>
          <a:xfrm>
            <a:off x="3402542" y="857250"/>
            <a:ext cx="1800000" cy="1800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127000" sx="102000" sy="102000" algn="ctr" rotWithShape="0">
              <a:prstClr val="black">
                <a:alpha val="2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pic macro="[0]!新增餐点">
        <xdr:nvPicPr>
          <xdr:cNvPr id="16" name="草菇厚牛堡">
            <a:extLst>
              <a:ext uri="{FF2B5EF4-FFF2-40B4-BE49-F238E27FC236}">
                <a16:creationId xmlns:a16="http://schemas.microsoft.com/office/drawing/2014/main" id="{7233F76D-B88C-2EA1-14D3-4BB976ECC5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497681" y="957791"/>
            <a:ext cx="1614069" cy="1259040"/>
          </a:xfrm>
          <a:prstGeom prst="rect">
            <a:avLst/>
          </a:prstGeom>
        </xdr:spPr>
      </xdr:pic>
      <xdr:sp macro="[0]!新增餐点" textlink="">
        <xdr:nvSpPr>
          <xdr:cNvPr id="17" name="矩形 16">
            <a:extLst>
              <a:ext uri="{FF2B5EF4-FFF2-40B4-BE49-F238E27FC236}">
                <a16:creationId xmlns:a16="http://schemas.microsoft.com/office/drawing/2014/main" id="{84DA13F3-D934-92C4-8DFE-E4B7B0128C78}"/>
              </a:ext>
            </a:extLst>
          </xdr:cNvPr>
          <xdr:cNvSpPr/>
        </xdr:nvSpPr>
        <xdr:spPr>
          <a:xfrm>
            <a:off x="3825764" y="2254249"/>
            <a:ext cx="954107" cy="35767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zh-CN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草</a:t>
            </a:r>
            <a:r>
              <a:rPr lang="zh-TW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菇厚牛堡</a:t>
            </a:r>
          </a:p>
        </xdr:txBody>
      </xdr:sp>
    </xdr:grpSp>
    <xdr:clientData/>
  </xdr:twoCellAnchor>
  <xdr:twoCellAnchor>
    <xdr:from>
      <xdr:col>1</xdr:col>
      <xdr:colOff>2741084</xdr:colOff>
      <xdr:row>5</xdr:row>
      <xdr:rowOff>84667</xdr:rowOff>
    </xdr:from>
    <xdr:to>
      <xdr:col>1</xdr:col>
      <xdr:colOff>4541084</xdr:colOff>
      <xdr:row>11</xdr:row>
      <xdr:rowOff>106667</xdr:rowOff>
    </xdr:to>
    <xdr:grpSp>
      <xdr:nvGrpSpPr>
        <xdr:cNvPr id="18" name="群组 17">
          <a:extLst>
            <a:ext uri="{FF2B5EF4-FFF2-40B4-BE49-F238E27FC236}">
              <a16:creationId xmlns:a16="http://schemas.microsoft.com/office/drawing/2014/main" id="{180357FF-3E86-235E-8459-65946F39BE2C}"/>
            </a:ext>
          </a:extLst>
        </xdr:cNvPr>
        <xdr:cNvGrpSpPr/>
      </xdr:nvGrpSpPr>
      <xdr:grpSpPr>
        <a:xfrm>
          <a:off x="5376334" y="2349500"/>
          <a:ext cx="1800000" cy="1800000"/>
          <a:chOff x="3402542" y="857250"/>
          <a:chExt cx="1800000" cy="1800000"/>
        </a:xfrm>
      </xdr:grpSpPr>
      <xdr:sp macro="[0]!新增餐点" textlink="">
        <xdr:nvSpPr>
          <xdr:cNvPr id="19" name="矩形 18">
            <a:extLst>
              <a:ext uri="{FF2B5EF4-FFF2-40B4-BE49-F238E27FC236}">
                <a16:creationId xmlns:a16="http://schemas.microsoft.com/office/drawing/2014/main" id="{8AA8032D-49A3-59DC-1EFF-777D0F406DF1}"/>
              </a:ext>
            </a:extLst>
          </xdr:cNvPr>
          <xdr:cNvSpPr/>
        </xdr:nvSpPr>
        <xdr:spPr>
          <a:xfrm>
            <a:off x="3402542" y="857250"/>
            <a:ext cx="1800000" cy="1800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127000" sx="102000" sy="102000" algn="ctr" rotWithShape="0">
              <a:prstClr val="black">
                <a:alpha val="2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pic macro="[0]!新增餐点">
        <xdr:nvPicPr>
          <xdr:cNvPr id="20" name="鱿鱼沙拉土司">
            <a:extLst>
              <a:ext uri="{FF2B5EF4-FFF2-40B4-BE49-F238E27FC236}">
                <a16:creationId xmlns:a16="http://schemas.microsoft.com/office/drawing/2014/main" id="{0F169D20-02EE-2B54-9D1E-6058FEBCB5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497681" y="957791"/>
            <a:ext cx="1614069" cy="1259040"/>
          </a:xfrm>
          <a:prstGeom prst="rect">
            <a:avLst/>
          </a:prstGeom>
        </xdr:spPr>
      </xdr:pic>
      <xdr:sp macro="[0]!新增餐点" textlink="">
        <xdr:nvSpPr>
          <xdr:cNvPr id="21" name="矩形 20">
            <a:extLst>
              <a:ext uri="{FF2B5EF4-FFF2-40B4-BE49-F238E27FC236}">
                <a16:creationId xmlns:a16="http://schemas.microsoft.com/office/drawing/2014/main" id="{114036C7-31CD-3EAA-A79E-AE35908BF1E1}"/>
              </a:ext>
            </a:extLst>
          </xdr:cNvPr>
          <xdr:cNvSpPr/>
        </xdr:nvSpPr>
        <xdr:spPr>
          <a:xfrm>
            <a:off x="3825764" y="2254249"/>
            <a:ext cx="954107" cy="35767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zh-CN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鱿鱼</a:t>
            </a:r>
            <a:r>
              <a:rPr lang="zh-TW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沙拉土司</a:t>
            </a:r>
          </a:p>
        </xdr:txBody>
      </xdr:sp>
    </xdr:grpSp>
    <xdr:clientData/>
  </xdr:twoCellAnchor>
  <xdr:twoCellAnchor>
    <xdr:from>
      <xdr:col>1</xdr:col>
      <xdr:colOff>571501</xdr:colOff>
      <xdr:row>12</xdr:row>
      <xdr:rowOff>60854</xdr:rowOff>
    </xdr:from>
    <xdr:to>
      <xdr:col>1</xdr:col>
      <xdr:colOff>2371501</xdr:colOff>
      <xdr:row>18</xdr:row>
      <xdr:rowOff>82854</xdr:rowOff>
    </xdr:to>
    <xdr:grpSp>
      <xdr:nvGrpSpPr>
        <xdr:cNvPr id="22" name="群组 21">
          <a:extLst>
            <a:ext uri="{FF2B5EF4-FFF2-40B4-BE49-F238E27FC236}">
              <a16:creationId xmlns:a16="http://schemas.microsoft.com/office/drawing/2014/main" id="{8AB6632B-BF85-CF64-CF9B-C44C2D60D125}"/>
            </a:ext>
          </a:extLst>
        </xdr:cNvPr>
        <xdr:cNvGrpSpPr/>
      </xdr:nvGrpSpPr>
      <xdr:grpSpPr>
        <a:xfrm>
          <a:off x="3206751" y="4400021"/>
          <a:ext cx="1800000" cy="1800000"/>
          <a:chOff x="3402542" y="857250"/>
          <a:chExt cx="1800000" cy="1800000"/>
        </a:xfrm>
      </xdr:grpSpPr>
      <xdr:sp macro="[0]!新增餐点" textlink="">
        <xdr:nvSpPr>
          <xdr:cNvPr id="23" name="矩形 22">
            <a:extLst>
              <a:ext uri="{FF2B5EF4-FFF2-40B4-BE49-F238E27FC236}">
                <a16:creationId xmlns:a16="http://schemas.microsoft.com/office/drawing/2014/main" id="{C72DA7ED-6B14-C170-8106-79064A9EFA75}"/>
              </a:ext>
            </a:extLst>
          </xdr:cNvPr>
          <xdr:cNvSpPr/>
        </xdr:nvSpPr>
        <xdr:spPr>
          <a:xfrm>
            <a:off x="3402542" y="857250"/>
            <a:ext cx="1800000" cy="1800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127000" sx="102000" sy="102000" algn="ctr" rotWithShape="0">
              <a:prstClr val="black">
                <a:alpha val="2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pic macro="[0]!新增餐点">
        <xdr:nvPicPr>
          <xdr:cNvPr id="24" name="冰香草拿铁">
            <a:extLst>
              <a:ext uri="{FF2B5EF4-FFF2-40B4-BE49-F238E27FC236}">
                <a16:creationId xmlns:a16="http://schemas.microsoft.com/office/drawing/2014/main" id="{DA1670DD-6392-44FF-F8D0-B107EAB861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497681" y="957791"/>
            <a:ext cx="1614069" cy="1259040"/>
          </a:xfrm>
          <a:prstGeom prst="rect">
            <a:avLst/>
          </a:prstGeom>
        </xdr:spPr>
      </xdr:pic>
      <xdr:sp macro="[0]!新增餐点" textlink="">
        <xdr:nvSpPr>
          <xdr:cNvPr id="25" name="矩形 24">
            <a:extLst>
              <a:ext uri="{FF2B5EF4-FFF2-40B4-BE49-F238E27FC236}">
                <a16:creationId xmlns:a16="http://schemas.microsoft.com/office/drawing/2014/main" id="{2CCA7AC1-DB51-4E3F-65F3-6B0D44BC869F}"/>
              </a:ext>
            </a:extLst>
          </xdr:cNvPr>
          <xdr:cNvSpPr/>
        </xdr:nvSpPr>
        <xdr:spPr>
          <a:xfrm>
            <a:off x="3825764" y="2254249"/>
            <a:ext cx="954107" cy="35767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zh-TW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冰香草拿</a:t>
            </a:r>
            <a:r>
              <a:rPr lang="zh-CN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铁</a:t>
            </a:r>
            <a:endParaRPr lang="zh-TW" altLang="en-US" sz="1200" b="1" cap="none" spc="0">
              <a:ln w="0"/>
              <a:solidFill>
                <a:schemeClr val="accent6">
                  <a:lumMod val="50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</xdr:grpSp>
    <xdr:clientData/>
  </xdr:twoCellAnchor>
  <xdr:twoCellAnchor>
    <xdr:from>
      <xdr:col>1</xdr:col>
      <xdr:colOff>2741084</xdr:colOff>
      <xdr:row>12</xdr:row>
      <xdr:rowOff>60854</xdr:rowOff>
    </xdr:from>
    <xdr:to>
      <xdr:col>1</xdr:col>
      <xdr:colOff>4541084</xdr:colOff>
      <xdr:row>18</xdr:row>
      <xdr:rowOff>82854</xdr:rowOff>
    </xdr:to>
    <xdr:grpSp>
      <xdr:nvGrpSpPr>
        <xdr:cNvPr id="26" name="群组 25">
          <a:extLst>
            <a:ext uri="{FF2B5EF4-FFF2-40B4-BE49-F238E27FC236}">
              <a16:creationId xmlns:a16="http://schemas.microsoft.com/office/drawing/2014/main" id="{C703697C-82AF-99CE-DF8B-53A4638EE15A}"/>
            </a:ext>
          </a:extLst>
        </xdr:cNvPr>
        <xdr:cNvGrpSpPr/>
      </xdr:nvGrpSpPr>
      <xdr:grpSpPr>
        <a:xfrm>
          <a:off x="5376334" y="4400021"/>
          <a:ext cx="1800000" cy="1800000"/>
          <a:chOff x="3402542" y="857250"/>
          <a:chExt cx="1800000" cy="1800000"/>
        </a:xfrm>
      </xdr:grpSpPr>
      <xdr:sp macro="[0]!新增餐点" textlink="">
        <xdr:nvSpPr>
          <xdr:cNvPr id="27" name="矩形 26">
            <a:extLst>
              <a:ext uri="{FF2B5EF4-FFF2-40B4-BE49-F238E27FC236}">
                <a16:creationId xmlns:a16="http://schemas.microsoft.com/office/drawing/2014/main" id="{08D298D0-5CC3-E50A-B0DB-30C306FFA2D0}"/>
              </a:ext>
            </a:extLst>
          </xdr:cNvPr>
          <xdr:cNvSpPr/>
        </xdr:nvSpPr>
        <xdr:spPr>
          <a:xfrm>
            <a:off x="3402542" y="857250"/>
            <a:ext cx="1800000" cy="1800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127000" sx="102000" sy="102000" algn="ctr" rotWithShape="0">
              <a:prstClr val="black">
                <a:alpha val="2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pic macro="[0]!新增餐点">
        <xdr:nvPicPr>
          <xdr:cNvPr id="28" name="巧克力奶茶">
            <a:extLst>
              <a:ext uri="{FF2B5EF4-FFF2-40B4-BE49-F238E27FC236}">
                <a16:creationId xmlns:a16="http://schemas.microsoft.com/office/drawing/2014/main" id="{7793045F-D70A-947A-0A61-827A446AB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497681" y="957791"/>
            <a:ext cx="1614069" cy="1259040"/>
          </a:xfrm>
          <a:prstGeom prst="rect">
            <a:avLst/>
          </a:prstGeom>
        </xdr:spPr>
      </xdr:pic>
      <xdr:sp macro="[0]!新增餐点" textlink="">
        <xdr:nvSpPr>
          <xdr:cNvPr id="29" name="矩形 28">
            <a:extLst>
              <a:ext uri="{FF2B5EF4-FFF2-40B4-BE49-F238E27FC236}">
                <a16:creationId xmlns:a16="http://schemas.microsoft.com/office/drawing/2014/main" id="{8A40225C-4E91-C238-1593-8E193F0F4310}"/>
              </a:ext>
            </a:extLst>
          </xdr:cNvPr>
          <xdr:cNvSpPr/>
        </xdr:nvSpPr>
        <xdr:spPr>
          <a:xfrm>
            <a:off x="3825764" y="2254249"/>
            <a:ext cx="954107" cy="35767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zh-TW" altLang="en-US" sz="1200" b="1" cap="none" spc="0">
                <a:ln w="0"/>
                <a:solidFill>
                  <a:schemeClr val="accent6">
                    <a:lumMod val="50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巧克力奶茶</a:t>
            </a:r>
          </a:p>
        </xdr:txBody>
      </xdr:sp>
    </xdr:grpSp>
    <xdr:clientData/>
  </xdr:twoCellAnchor>
  <xdr:twoCellAnchor>
    <xdr:from>
      <xdr:col>3</xdr:col>
      <xdr:colOff>11759</xdr:colOff>
      <xdr:row>0</xdr:row>
      <xdr:rowOff>346902</xdr:rowOff>
    </xdr:from>
    <xdr:to>
      <xdr:col>4</xdr:col>
      <xdr:colOff>331639</xdr:colOff>
      <xdr:row>0</xdr:row>
      <xdr:rowOff>778902</xdr:rowOff>
    </xdr:to>
    <xdr:sp macro="[0]!新订单" textlink="">
      <xdr:nvSpPr>
        <xdr:cNvPr id="30" name="矩形: 圓角 29">
          <a:extLst>
            <a:ext uri="{FF2B5EF4-FFF2-40B4-BE49-F238E27FC236}">
              <a16:creationId xmlns:a16="http://schemas.microsoft.com/office/drawing/2014/main" id="{9248107A-65CC-A0EB-5C68-AB2B13CDC62B}"/>
            </a:ext>
          </a:extLst>
        </xdr:cNvPr>
        <xdr:cNvSpPr/>
      </xdr:nvSpPr>
      <xdr:spPr>
        <a:xfrm>
          <a:off x="8260880" y="346902"/>
          <a:ext cx="1584000" cy="4320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新</a:t>
          </a:r>
          <a:r>
            <a:rPr lang="zh-CN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订单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4</xdr:col>
      <xdr:colOff>467431</xdr:colOff>
      <xdr:row>0</xdr:row>
      <xdr:rowOff>346902</xdr:rowOff>
    </xdr:from>
    <xdr:to>
      <xdr:col>5</xdr:col>
      <xdr:colOff>787310</xdr:colOff>
      <xdr:row>0</xdr:row>
      <xdr:rowOff>778902</xdr:rowOff>
    </xdr:to>
    <xdr:sp macro="[0]!删除餐点" textlink="">
      <xdr:nvSpPr>
        <xdr:cNvPr id="31" name="矩形: 圓角 30">
          <a:extLst>
            <a:ext uri="{FF2B5EF4-FFF2-40B4-BE49-F238E27FC236}">
              <a16:creationId xmlns:a16="http://schemas.microsoft.com/office/drawing/2014/main" id="{AB2274B1-F7CF-DE56-C948-8B7500F5F567}"/>
            </a:ext>
          </a:extLst>
        </xdr:cNvPr>
        <xdr:cNvSpPr/>
      </xdr:nvSpPr>
      <xdr:spPr>
        <a:xfrm>
          <a:off x="9980672" y="346902"/>
          <a:ext cx="1584000" cy="4320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刪除餐</a:t>
          </a:r>
          <a:r>
            <a:rPr lang="zh-CN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点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5</xdr:col>
      <xdr:colOff>923101</xdr:colOff>
      <xdr:row>0</xdr:row>
      <xdr:rowOff>346902</xdr:rowOff>
    </xdr:from>
    <xdr:to>
      <xdr:col>6</xdr:col>
      <xdr:colOff>1242982</xdr:colOff>
      <xdr:row>0</xdr:row>
      <xdr:rowOff>778902</xdr:rowOff>
    </xdr:to>
    <xdr:sp macro="[0]!打印订单" textlink="">
      <xdr:nvSpPr>
        <xdr:cNvPr id="32" name="矩形: 圓角 31">
          <a:extLst>
            <a:ext uri="{FF2B5EF4-FFF2-40B4-BE49-F238E27FC236}">
              <a16:creationId xmlns:a16="http://schemas.microsoft.com/office/drawing/2014/main" id="{EA6CEDAB-6A29-5798-4C67-94F15AD638BC}"/>
            </a:ext>
          </a:extLst>
        </xdr:cNvPr>
        <xdr:cNvSpPr/>
      </xdr:nvSpPr>
      <xdr:spPr>
        <a:xfrm>
          <a:off x="11700463" y="346902"/>
          <a:ext cx="1584000" cy="4320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打印订单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D02AF5-B581-4D31-B205-2C711470FF70}" name="表格2" displayName="表格2" ref="A1:B7" totalsRowShown="0" headerRowDxfId="3" headerRowBorderDxfId="2">
  <autoFilter ref="A1:B7" xr:uid="{D3D02AF5-B581-4D31-B205-2C711470FF70}"/>
  <tableColumns count="2">
    <tableColumn id="1" xr3:uid="{8686DA09-C1CC-43FF-B8FB-CAD56C45D0CF}" name="餐点名称" dataDxfId="1"/>
    <tableColumn id="2" xr3:uid="{E999C919-4262-421A-91AD-C148C15B51A1}" name="价格" dataDxfId="0" dataCellStyle="货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中庸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B5782-6B62-4305-9A15-66E4CDB3FCC9}">
  <sheetPr codeName="工作表4">
    <pageSetUpPr autoPageBreaks="0"/>
  </sheetPr>
  <dimension ref="A1:M17"/>
  <sheetViews>
    <sheetView tabSelected="1" zoomScale="90" zoomScaleNormal="90" workbookViewId="0">
      <selection activeCell="I6" sqref="I6"/>
    </sheetView>
  </sheetViews>
  <sheetFormatPr defaultColWidth="16.625" defaultRowHeight="23.45" customHeight="1"/>
  <cols>
    <col min="1" max="1" width="34.625" style="11" customWidth="1"/>
    <col min="2" max="2" width="67" style="8" customWidth="1"/>
    <col min="3" max="3" width="6.625" style="9" customWidth="1"/>
    <col min="4" max="7" width="16.625" style="9"/>
    <col min="8" max="8" width="6.625" style="9" customWidth="1"/>
    <col min="9" max="13" width="34.625" style="11" customWidth="1"/>
    <col min="14" max="16384" width="16.625" style="8"/>
  </cols>
  <sheetData>
    <row r="1" spans="2:7" ht="85.15" customHeight="1"/>
    <row r="2" spans="2:7" ht="23.25" customHeight="1">
      <c r="D2" s="15" t="s">
        <v>13</v>
      </c>
      <c r="E2" s="17">
        <v>2</v>
      </c>
      <c r="F2" s="16" t="s">
        <v>4</v>
      </c>
      <c r="G2" s="18">
        <v>45112.605729166666</v>
      </c>
    </row>
    <row r="4" spans="2:7" ht="23.45" customHeight="1">
      <c r="D4" s="10"/>
      <c r="E4" s="10"/>
      <c r="F4" s="10" t="s">
        <v>14</v>
      </c>
      <c r="G4" s="10" t="s">
        <v>8</v>
      </c>
    </row>
    <row r="5" spans="2:7" ht="23.45" customHeight="1">
      <c r="D5" s="20"/>
      <c r="E5" s="14"/>
      <c r="F5" s="28" t="str">
        <f>IFERROR(VLOOKUP(D5,表格2[],2,0),"")</f>
        <v/>
      </c>
      <c r="G5" s="28" t="str">
        <f>IFERROR(E5*F5,"")</f>
        <v/>
      </c>
    </row>
    <row r="6" spans="2:7" ht="23.45" customHeight="1">
      <c r="D6" s="21"/>
      <c r="E6" s="12"/>
      <c r="F6" s="29" t="str">
        <f>IFERROR(VLOOKUP(D6,表格2[],2,0),"")</f>
        <v/>
      </c>
      <c r="G6" s="29" t="str">
        <f t="shared" ref="G6:G16" si="0">IFERROR(E6*F6,"")</f>
        <v/>
      </c>
    </row>
    <row r="7" spans="2:7" ht="23.45" customHeight="1">
      <c r="B7" s="8" t="s">
        <v>0</v>
      </c>
      <c r="D7" s="21"/>
      <c r="E7" s="12"/>
      <c r="F7" s="29" t="str">
        <f>IFERROR(VLOOKUP(D7,表格2[],2,0),"")</f>
        <v/>
      </c>
      <c r="G7" s="29" t="str">
        <f t="shared" si="0"/>
        <v/>
      </c>
    </row>
    <row r="8" spans="2:7" ht="23.45" customHeight="1">
      <c r="D8" s="21"/>
      <c r="E8" s="12"/>
      <c r="F8" s="29" t="str">
        <f>IFERROR(VLOOKUP(D8,表格2[],2,0),"")</f>
        <v/>
      </c>
      <c r="G8" s="29" t="str">
        <f t="shared" si="0"/>
        <v/>
      </c>
    </row>
    <row r="9" spans="2:7" ht="23.45" customHeight="1">
      <c r="D9" s="21"/>
      <c r="E9" s="12"/>
      <c r="F9" s="29" t="str">
        <f>IFERROR(VLOOKUP(D9,表格2[],2,0),"")</f>
        <v/>
      </c>
      <c r="G9" s="29" t="str">
        <f t="shared" si="0"/>
        <v/>
      </c>
    </row>
    <row r="10" spans="2:7" ht="23.45" customHeight="1">
      <c r="D10" s="21"/>
      <c r="E10" s="12"/>
      <c r="F10" s="29" t="str">
        <f>IFERROR(VLOOKUP(D10,表格2[],2,0),"")</f>
        <v/>
      </c>
      <c r="G10" s="29" t="str">
        <f t="shared" si="0"/>
        <v/>
      </c>
    </row>
    <row r="11" spans="2:7" ht="23.45" customHeight="1">
      <c r="D11" s="21"/>
      <c r="E11" s="12"/>
      <c r="F11" s="29" t="str">
        <f>IFERROR(VLOOKUP(D11,表格2[],2,0),"")</f>
        <v/>
      </c>
      <c r="G11" s="29" t="str">
        <f t="shared" si="0"/>
        <v/>
      </c>
    </row>
    <row r="12" spans="2:7" ht="23.45" customHeight="1">
      <c r="D12" s="21"/>
      <c r="E12" s="12"/>
      <c r="F12" s="29" t="str">
        <f>IFERROR(VLOOKUP(D12,表格2[],2,0),"")</f>
        <v/>
      </c>
      <c r="G12" s="29" t="str">
        <f t="shared" si="0"/>
        <v/>
      </c>
    </row>
    <row r="13" spans="2:7" ht="23.45" customHeight="1">
      <c r="D13" s="21"/>
      <c r="E13" s="12"/>
      <c r="F13" s="29" t="str">
        <f>IFERROR(VLOOKUP(D13,表格2[],2,0),"")</f>
        <v/>
      </c>
      <c r="G13" s="29" t="str">
        <f t="shared" si="0"/>
        <v/>
      </c>
    </row>
    <row r="14" spans="2:7" ht="23.45" customHeight="1">
      <c r="D14" s="21"/>
      <c r="E14" s="12"/>
      <c r="F14" s="29" t="str">
        <f>IFERROR(VLOOKUP(D14,表格2[],2,0),"")</f>
        <v/>
      </c>
      <c r="G14" s="29" t="str">
        <f t="shared" si="0"/>
        <v/>
      </c>
    </row>
    <row r="15" spans="2:7" ht="23.45" customHeight="1">
      <c r="D15" s="21"/>
      <c r="E15" s="12"/>
      <c r="F15" s="29" t="str">
        <f>IFERROR(VLOOKUP(D15,表格2[],2,0),"")</f>
        <v/>
      </c>
      <c r="G15" s="29" t="str">
        <f t="shared" si="0"/>
        <v/>
      </c>
    </row>
    <row r="16" spans="2:7" ht="23.45" customHeight="1">
      <c r="D16" s="22"/>
      <c r="E16" s="13"/>
      <c r="F16" s="30" t="str">
        <f>IFERROR(VLOOKUP(D16,表格2[],2,0),"")</f>
        <v/>
      </c>
      <c r="G16" s="30" t="str">
        <f t="shared" si="0"/>
        <v/>
      </c>
    </row>
    <row r="17" spans="4:7" ht="23.45" customHeight="1">
      <c r="D17" s="19" t="s">
        <v>15</v>
      </c>
      <c r="F17" s="31"/>
      <c r="G17" s="29">
        <f>SUM(G5:G16)</f>
        <v>0</v>
      </c>
    </row>
  </sheetData>
  <phoneticPr fontId="3" type="noConversion"/>
  <conditionalFormatting sqref="D5:G16">
    <cfRule type="expression" dxfId="4" priority="1">
      <formula>ISEVEN(ROW())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40405-5A99-497D-8C0A-0BD7DC72C109}">
  <sheetPr codeName="工作表2"/>
  <dimension ref="A1:B7"/>
  <sheetViews>
    <sheetView zoomScale="130" zoomScaleNormal="130" workbookViewId="0">
      <selection activeCell="B2" sqref="B2:B7"/>
    </sheetView>
  </sheetViews>
  <sheetFormatPr defaultColWidth="12" defaultRowHeight="21.4" customHeight="1"/>
  <cols>
    <col min="1" max="2" width="15.75" style="2" customWidth="1"/>
    <col min="3" max="3" width="14.625" style="2" customWidth="1"/>
    <col min="4" max="16384" width="12" style="2"/>
  </cols>
  <sheetData>
    <row r="1" spans="1:2" ht="21.4" customHeight="1">
      <c r="A1" s="1" t="s">
        <v>5</v>
      </c>
      <c r="B1" s="1" t="s">
        <v>9</v>
      </c>
    </row>
    <row r="2" spans="1:2" ht="21.4" customHeight="1">
      <c r="A2" s="26" t="s">
        <v>16</v>
      </c>
      <c r="B2" s="27">
        <v>90</v>
      </c>
    </row>
    <row r="3" spans="1:2" ht="21.4" customHeight="1">
      <c r="A3" s="26" t="s">
        <v>10</v>
      </c>
      <c r="B3" s="27">
        <v>100</v>
      </c>
    </row>
    <row r="4" spans="1:2" ht="21.4" customHeight="1">
      <c r="A4" s="26" t="s">
        <v>1</v>
      </c>
      <c r="B4" s="27">
        <v>60</v>
      </c>
    </row>
    <row r="5" spans="1:2" ht="21.4" customHeight="1">
      <c r="A5" s="26" t="s">
        <v>11</v>
      </c>
      <c r="B5" s="27">
        <v>80</v>
      </c>
    </row>
    <row r="6" spans="1:2" ht="21.4" customHeight="1">
      <c r="A6" s="26" t="s">
        <v>2</v>
      </c>
      <c r="B6" s="27">
        <v>90</v>
      </c>
    </row>
    <row r="7" spans="1:2" ht="21.4" customHeight="1">
      <c r="A7" s="26" t="s">
        <v>12</v>
      </c>
      <c r="B7" s="27">
        <v>80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F047A-1F41-4AC1-BECF-C83590AC84B1}">
  <sheetPr codeName="工作表3"/>
  <dimension ref="A1:J38"/>
  <sheetViews>
    <sheetView zoomScale="97" zoomScaleNormal="97" workbookViewId="0">
      <selection activeCell="D12" sqref="D12"/>
    </sheetView>
  </sheetViews>
  <sheetFormatPr defaultColWidth="12" defaultRowHeight="21.4" customHeight="1"/>
  <cols>
    <col min="1" max="1" width="15.125" style="4" customWidth="1"/>
    <col min="2" max="3" width="18.125" style="3" customWidth="1"/>
    <col min="4" max="4" width="15.125" style="3" customWidth="1"/>
    <col min="5" max="6" width="15.125" style="6" customWidth="1"/>
    <col min="7" max="16384" width="12" style="2"/>
  </cols>
  <sheetData>
    <row r="1" spans="1:10" ht="21.4" customHeight="1">
      <c r="A1" s="23" t="s">
        <v>3</v>
      </c>
      <c r="B1" s="24" t="s">
        <v>4</v>
      </c>
      <c r="C1" s="24" t="s">
        <v>5</v>
      </c>
      <c r="D1" s="24" t="s">
        <v>6</v>
      </c>
      <c r="E1" s="25" t="s">
        <v>7</v>
      </c>
      <c r="F1" s="25" t="s">
        <v>8</v>
      </c>
    </row>
    <row r="2" spans="1:10" ht="21.4" customHeight="1">
      <c r="B2" s="5"/>
    </row>
    <row r="3" spans="1:10" ht="21.4" customHeight="1">
      <c r="B3" s="5"/>
    </row>
    <row r="4" spans="1:10" ht="21.4" customHeight="1">
      <c r="B4" s="5"/>
    </row>
    <row r="5" spans="1:10" ht="21.4" customHeight="1">
      <c r="B5" s="5"/>
      <c r="J5" s="7"/>
    </row>
    <row r="6" spans="1:10" ht="21.4" customHeight="1">
      <c r="B6" s="5"/>
    </row>
    <row r="7" spans="1:10" ht="21.4" customHeight="1">
      <c r="B7" s="5"/>
    </row>
    <row r="8" spans="1:10" ht="21.4" customHeight="1">
      <c r="B8" s="5"/>
    </row>
    <row r="9" spans="1:10" ht="21.4" customHeight="1">
      <c r="B9" s="5"/>
    </row>
    <row r="10" spans="1:10" ht="21.4" customHeight="1">
      <c r="B10" s="5"/>
    </row>
    <row r="11" spans="1:10" ht="21.4" customHeight="1">
      <c r="B11" s="5"/>
    </row>
    <row r="12" spans="1:10" ht="21.4" customHeight="1">
      <c r="B12" s="5"/>
    </row>
    <row r="13" spans="1:10" ht="21.4" customHeight="1">
      <c r="B13" s="5"/>
    </row>
    <row r="14" spans="1:10" ht="21.4" customHeight="1">
      <c r="B14" s="5"/>
    </row>
    <row r="15" spans="1:10" ht="21.4" customHeight="1">
      <c r="B15" s="5"/>
    </row>
    <row r="16" spans="1:10" ht="21.4" customHeight="1">
      <c r="B16" s="5"/>
    </row>
    <row r="17" spans="2:2" ht="21.4" customHeight="1">
      <c r="B17" s="5"/>
    </row>
    <row r="18" spans="2:2" ht="21.4" customHeight="1">
      <c r="B18" s="5"/>
    </row>
    <row r="19" spans="2:2" ht="21.4" customHeight="1">
      <c r="B19" s="5"/>
    </row>
    <row r="20" spans="2:2" ht="21.4" customHeight="1">
      <c r="B20" s="5"/>
    </row>
    <row r="21" spans="2:2" ht="21.4" customHeight="1">
      <c r="B21" s="5"/>
    </row>
    <row r="22" spans="2:2" ht="21.4" customHeight="1">
      <c r="B22" s="5"/>
    </row>
    <row r="23" spans="2:2" ht="21.4" customHeight="1">
      <c r="B23" s="5"/>
    </row>
    <row r="24" spans="2:2" ht="21.4" customHeight="1">
      <c r="B24" s="5"/>
    </row>
    <row r="25" spans="2:2" ht="21.4" customHeight="1">
      <c r="B25" s="5"/>
    </row>
    <row r="26" spans="2:2" ht="21.4" customHeight="1">
      <c r="B26" s="5"/>
    </row>
    <row r="27" spans="2:2" ht="21.4" customHeight="1">
      <c r="B27" s="5"/>
    </row>
    <row r="28" spans="2:2" ht="21.4" customHeight="1">
      <c r="B28" s="5"/>
    </row>
    <row r="29" spans="2:2" ht="21.4" customHeight="1">
      <c r="B29" s="5"/>
    </row>
    <row r="30" spans="2:2" ht="21.4" customHeight="1">
      <c r="B30" s="5"/>
    </row>
    <row r="31" spans="2:2" ht="21.4" customHeight="1">
      <c r="B31" s="5"/>
    </row>
    <row r="32" spans="2:2" ht="21.4" customHeight="1">
      <c r="B32" s="5"/>
    </row>
    <row r="33" spans="2:2" ht="21.4" customHeight="1">
      <c r="B33" s="5"/>
    </row>
    <row r="34" spans="2:2" ht="21.4" customHeight="1">
      <c r="B34" s="5"/>
    </row>
    <row r="35" spans="2:2" ht="21.4" customHeight="1">
      <c r="B35" s="5"/>
    </row>
    <row r="36" spans="2:2" ht="21.4" customHeight="1">
      <c r="B36" s="5"/>
    </row>
    <row r="37" spans="2:2" ht="21.4" customHeight="1">
      <c r="B37" s="5"/>
    </row>
    <row r="38" spans="2:2" ht="21.4" customHeight="1">
      <c r="B38" s="5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首页</vt:lpstr>
      <vt:lpstr>价格表</vt:lpstr>
      <vt:lpstr>资料库</vt:lpstr>
      <vt:lpstr>首页!Print_Area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Classroom Papaya</dc:creator>
  <cp:lastModifiedBy>Administrator</cp:lastModifiedBy>
  <cp:lastPrinted>2023-07-05T06:48:02Z</cp:lastPrinted>
  <dcterms:created xsi:type="dcterms:W3CDTF">2023-06-15T07:07:14Z</dcterms:created>
  <dcterms:modified xsi:type="dcterms:W3CDTF">2023-07-05T06:48:06Z</dcterms:modified>
</cp:coreProperties>
</file>